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g\OneDrive\Escritorio\"/>
    </mc:Choice>
  </mc:AlternateContent>
  <xr:revisionPtr revIDLastSave="0" documentId="8_{98DF6498-0C08-4DAE-A6A1-68F7E8469078}" xr6:coauthVersionLast="47" xr6:coauthVersionMax="47" xr10:uidLastSave="{00000000-0000-0000-0000-000000000000}"/>
  <bookViews>
    <workbookView xWindow="-120" yWindow="-120" windowWidth="20730" windowHeight="11160" xr2:uid="{7A61FCDC-95B1-47B0-BDF2-84D59104281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4" i="1" l="1"/>
  <c r="G13" i="1"/>
  <c r="G12" i="1"/>
  <c r="G11" i="1"/>
  <c r="G4" i="1"/>
  <c r="G10" i="1"/>
  <c r="G9" i="1"/>
  <c r="G8" i="1"/>
  <c r="G7" i="1"/>
  <c r="G6" i="1"/>
  <c r="G5" i="1"/>
  <c r="D6" i="1"/>
  <c r="D7" i="1"/>
  <c r="D8" i="1"/>
  <c r="D9" i="1"/>
  <c r="D10" i="1"/>
  <c r="D11" i="1"/>
  <c r="D12" i="1"/>
  <c r="D13" i="1"/>
  <c r="D14" i="1"/>
  <c r="D5" i="1"/>
</calcChain>
</file>

<file path=xl/sharedStrings.xml><?xml version="1.0" encoding="utf-8"?>
<sst xmlns="http://schemas.openxmlformats.org/spreadsheetml/2006/main" count="38" uniqueCount="30">
  <si>
    <t>ELECTROBOSS S.A.S.</t>
  </si>
  <si>
    <t>VENTAS DEL MES DE ENERO</t>
  </si>
  <si>
    <t>Fecha</t>
  </si>
  <si>
    <t>SUCURSAL</t>
  </si>
  <si>
    <t>VENDEDOR</t>
  </si>
  <si>
    <t>TOTAL</t>
  </si>
  <si>
    <t>COMISION</t>
  </si>
  <si>
    <t>Norte</t>
  </si>
  <si>
    <t>Alberto Meriño</t>
  </si>
  <si>
    <t>Sur</t>
  </si>
  <si>
    <t>Ana Barrios</t>
  </si>
  <si>
    <t>Patricia López</t>
  </si>
  <si>
    <t>Pedro Quintana</t>
  </si>
  <si>
    <t>Luis Chamorro</t>
  </si>
  <si>
    <t>Mario Galvis</t>
  </si>
  <si>
    <t>Ana Ordoñez</t>
  </si>
  <si>
    <t>Lina Liñán</t>
  </si>
  <si>
    <t>Camilo Namen</t>
  </si>
  <si>
    <t>Ronald Torres</t>
  </si>
  <si>
    <t>Ventas  totales</t>
  </si>
  <si>
    <t>Vendedores totales</t>
  </si>
  <si>
    <t>Mayor Venta</t>
  </si>
  <si>
    <t>Menor Venta</t>
  </si>
  <si>
    <t>Promedio</t>
  </si>
  <si>
    <t>Fecha y hora</t>
  </si>
  <si>
    <t>Precio mas frecuente</t>
  </si>
  <si>
    <t>Vendedores Sur</t>
  </si>
  <si>
    <t>Vendedores Norte</t>
  </si>
  <si>
    <t>Ventas Norte</t>
  </si>
  <si>
    <t>Ventas Sur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</si>
</sst>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XDR&quot;* #,##0.00_-;\-&quot;XDR&quot;* #,##0.00_-;_-&quot;XDR&quot;* &quot;-&quot;??_-;_-@_-"/>
    <numFmt numFmtId="168" formatCode="[$$-240A]\ #,##0.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sz val="14"/>
      <color rgb="FF000000"/>
      <name val="Arial"/>
      <family val="2"/>
    </font>
    <font>
      <sz val="14"/>
      <color rgb="FF000000"/>
      <name val="Calibri"/>
      <family val="2"/>
      <scheme val="minor"/>
    </font>
    <font>
      <b/>
      <sz val="14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0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168" fontId="0" fillId="0" borderId="0" xfId="0" applyNumberFormat="1"/>
    <xf numFmtId="168" fontId="3" fillId="0" borderId="1" xfId="1" applyNumberFormat="1" applyFont="1" applyBorder="1" applyAlignment="1">
      <alignment vertical="center"/>
    </xf>
    <xf numFmtId="168" fontId="4" fillId="0" borderId="1" xfId="1" applyNumberFormat="1" applyFont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5" fillId="2" borderId="1" xfId="0" applyFont="1" applyFill="1" applyBorder="1"/>
    <xf numFmtId="0" fontId="6" fillId="0" borderId="1" xfId="0" applyFont="1" applyFill="1" applyBorder="1"/>
    <xf numFmtId="168" fontId="6" fillId="0" borderId="1" xfId="0" applyNumberFormat="1" applyFont="1" applyBorder="1"/>
    <xf numFmtId="0" fontId="6" fillId="0" borderId="0" xfId="0" applyFont="1"/>
    <xf numFmtId="168" fontId="6" fillId="0" borderId="0" xfId="0" applyNumberFormat="1" applyFont="1"/>
    <xf numFmtId="0" fontId="5" fillId="0" borderId="0" xfId="0" applyFont="1"/>
    <xf numFmtId="9" fontId="6" fillId="0" borderId="0" xfId="0" applyNumberFormat="1" applyFont="1"/>
    <xf numFmtId="22" fontId="6" fillId="0" borderId="1" xfId="0" applyNumberFormat="1" applyFont="1" applyBorder="1"/>
    <xf numFmtId="0" fontId="6" fillId="0" borderId="1" xfId="0" applyFont="1" applyBorder="1"/>
    <xf numFmtId="0" fontId="0" fillId="2" borderId="1" xfId="0" applyFill="1" applyBorder="1" applyAlignment="1">
      <alignment horizontal="center"/>
    </xf>
    <xf numFmtId="168" fontId="2" fillId="2" borderId="1" xfId="0" applyNumberFormat="1" applyFont="1" applyFill="1" applyBorder="1" applyAlignment="1">
      <alignment horizontal="center" vertical="center"/>
    </xf>
    <xf numFmtId="0" fontId="0" fillId="0" borderId="1" xfId="0" applyFill="1" applyBorder="1"/>
    <xf numFmtId="0" fontId="0" fillId="0" borderId="1" xfId="0" applyFill="1" applyBorder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947ED-1219-45BC-ACA7-8BD9AC892E2C}">
  <dimension ref="A1:G15"/>
  <sheetViews>
    <sheetView tabSelected="1" workbookViewId="0">
      <selection activeCell="J14" sqref="J14"/>
    </sheetView>
  </sheetViews>
  <sheetFormatPr baseColWidth="10" defaultRowHeight="18" x14ac:dyDescent="0.25"/>
  <cols>
    <col min="1" max="1" width="16.140625" bestFit="1" customWidth="1"/>
    <col min="2" max="2" width="20.140625" bestFit="1" customWidth="1"/>
    <col min="3" max="3" width="23.140625" style="3" bestFit="1" customWidth="1"/>
    <col min="4" max="4" width="20.5703125" bestFit="1" customWidth="1"/>
    <col min="6" max="6" width="29.85546875" style="12" bestFit="1" customWidth="1"/>
    <col min="7" max="7" width="15.85546875" style="10" bestFit="1" customWidth="1"/>
  </cols>
  <sheetData>
    <row r="1" spans="1:7" x14ac:dyDescent="0.25">
      <c r="A1" s="19" t="s">
        <v>0</v>
      </c>
      <c r="B1" s="19"/>
      <c r="C1" s="19"/>
      <c r="D1" s="19"/>
    </row>
    <row r="2" spans="1:7" x14ac:dyDescent="0.25">
      <c r="A2" s="16" t="s">
        <v>1</v>
      </c>
      <c r="B2" s="16"/>
      <c r="C2" s="16"/>
      <c r="D2" s="16"/>
      <c r="G2" s="13"/>
    </row>
    <row r="3" spans="1:7" x14ac:dyDescent="0.25">
      <c r="A3" s="18" t="s">
        <v>2</v>
      </c>
      <c r="B3" s="19"/>
      <c r="C3" s="19"/>
      <c r="D3" s="19"/>
      <c r="G3" s="13"/>
    </row>
    <row r="4" spans="1:7" x14ac:dyDescent="0.25">
      <c r="A4" s="6" t="s">
        <v>3</v>
      </c>
      <c r="B4" s="6" t="s">
        <v>4</v>
      </c>
      <c r="C4" s="17" t="s">
        <v>5</v>
      </c>
      <c r="D4" s="6" t="s">
        <v>6</v>
      </c>
      <c r="F4" s="6" t="s">
        <v>20</v>
      </c>
      <c r="G4" s="8">
        <f>COUNTA(B5:B14)</f>
        <v>10</v>
      </c>
    </row>
    <row r="5" spans="1:7" ht="18.75" x14ac:dyDescent="0.25">
      <c r="A5" s="1" t="s">
        <v>7</v>
      </c>
      <c r="B5" s="2" t="s">
        <v>8</v>
      </c>
      <c r="C5" s="4">
        <v>108000</v>
      </c>
      <c r="D5" s="5">
        <f>IF(A5="Norte",C5*10%,C5*15%)</f>
        <v>10800</v>
      </c>
      <c r="F5" s="7" t="s">
        <v>19</v>
      </c>
      <c r="G5" s="9">
        <f>SUM(C5:C14)</f>
        <v>5027000</v>
      </c>
    </row>
    <row r="6" spans="1:7" ht="18.75" x14ac:dyDescent="0.25">
      <c r="A6" s="1" t="s">
        <v>9</v>
      </c>
      <c r="B6" s="2" t="s">
        <v>10</v>
      </c>
      <c r="C6" s="4">
        <v>345000</v>
      </c>
      <c r="D6" s="5">
        <f t="shared" ref="D6:D14" si="0">IF(A6="Norte",C6*10%,C6*15%)</f>
        <v>51750</v>
      </c>
      <c r="F6" s="7" t="s">
        <v>21</v>
      </c>
      <c r="G6" s="9">
        <f>MAX(C5:C14)</f>
        <v>980000</v>
      </c>
    </row>
    <row r="7" spans="1:7" ht="18.75" x14ac:dyDescent="0.25">
      <c r="A7" s="1" t="s">
        <v>9</v>
      </c>
      <c r="B7" s="2" t="s">
        <v>11</v>
      </c>
      <c r="C7" s="4">
        <v>234000</v>
      </c>
      <c r="D7" s="5">
        <f t="shared" si="0"/>
        <v>35100</v>
      </c>
      <c r="F7" s="7" t="s">
        <v>22</v>
      </c>
      <c r="G7" s="9">
        <f>MIN(C5:C14)</f>
        <v>108000</v>
      </c>
    </row>
    <row r="8" spans="1:7" ht="18.75" x14ac:dyDescent="0.25">
      <c r="A8" s="1" t="s">
        <v>7</v>
      </c>
      <c r="B8" s="2" t="s">
        <v>12</v>
      </c>
      <c r="C8" s="4">
        <v>670000</v>
      </c>
      <c r="D8" s="5">
        <f t="shared" si="0"/>
        <v>67000</v>
      </c>
      <c r="F8" s="7" t="s">
        <v>23</v>
      </c>
      <c r="G8" s="9">
        <f>AVERAGE(C5:C14)</f>
        <v>502700</v>
      </c>
    </row>
    <row r="9" spans="1:7" ht="18.75" x14ac:dyDescent="0.25">
      <c r="A9" s="1" t="s">
        <v>9</v>
      </c>
      <c r="B9" s="2" t="s">
        <v>13</v>
      </c>
      <c r="C9" s="4">
        <v>240000</v>
      </c>
      <c r="D9" s="5">
        <f t="shared" si="0"/>
        <v>36000</v>
      </c>
      <c r="F9" s="7" t="s">
        <v>24</v>
      </c>
      <c r="G9" s="14">
        <f ca="1">NOW()</f>
        <v>45479.540124074076</v>
      </c>
    </row>
    <row r="10" spans="1:7" ht="18.75" x14ac:dyDescent="0.25">
      <c r="A10" s="1" t="s">
        <v>9</v>
      </c>
      <c r="B10" s="2" t="s">
        <v>14</v>
      </c>
      <c r="C10" s="4">
        <v>670000</v>
      </c>
      <c r="D10" s="5">
        <f t="shared" si="0"/>
        <v>100500</v>
      </c>
      <c r="F10" s="7" t="s">
        <v>25</v>
      </c>
      <c r="G10" s="9">
        <f>MODE(C5:C14)</f>
        <v>670000</v>
      </c>
    </row>
    <row r="11" spans="1:7" ht="18.75" x14ac:dyDescent="0.25">
      <c r="A11" s="1" t="s">
        <v>7</v>
      </c>
      <c r="B11" s="2" t="s">
        <v>15</v>
      </c>
      <c r="C11" s="4">
        <v>450000</v>
      </c>
      <c r="D11" s="5">
        <f t="shared" si="0"/>
        <v>45000</v>
      </c>
      <c r="F11" s="7" t="s">
        <v>27</v>
      </c>
      <c r="G11" s="15">
        <f>COUNTIF(A4:B14,"Norte")</f>
        <v>5</v>
      </c>
    </row>
    <row r="12" spans="1:7" ht="18.75" x14ac:dyDescent="0.25">
      <c r="A12" s="1" t="s">
        <v>7</v>
      </c>
      <c r="B12" s="2" t="s">
        <v>16</v>
      </c>
      <c r="C12" s="4">
        <v>980000</v>
      </c>
      <c r="D12" s="5">
        <f t="shared" si="0"/>
        <v>98000</v>
      </c>
      <c r="F12" s="7" t="s">
        <v>26</v>
      </c>
      <c r="G12" s="15">
        <f>COUNTIF(A4:B14,"Sur")</f>
        <v>5</v>
      </c>
    </row>
    <row r="13" spans="1:7" ht="18.75" x14ac:dyDescent="0.25">
      <c r="A13" s="1" t="s">
        <v>9</v>
      </c>
      <c r="B13" s="2" t="s">
        <v>17</v>
      </c>
      <c r="C13" s="4">
        <v>560000</v>
      </c>
      <c r="D13" s="5">
        <f t="shared" si="0"/>
        <v>84000</v>
      </c>
      <c r="F13" s="7" t="s">
        <v>28</v>
      </c>
      <c r="G13" s="9">
        <f>SUMIF(A5:A14,"Norte",C5:C14)</f>
        <v>2978000</v>
      </c>
    </row>
    <row r="14" spans="1:7" ht="18.75" x14ac:dyDescent="0.25">
      <c r="A14" s="1" t="s">
        <v>7</v>
      </c>
      <c r="B14" s="2" t="s">
        <v>18</v>
      </c>
      <c r="C14" s="4">
        <v>770000</v>
      </c>
      <c r="D14" s="5">
        <f t="shared" si="0"/>
        <v>77000</v>
      </c>
      <c r="F14" s="7" t="s">
        <v>29</v>
      </c>
      <c r="G14" s="9">
        <f>SUMIF(A6:A15,"Sur",C6:C15)</f>
        <v>2049000</v>
      </c>
    </row>
    <row r="15" spans="1:7" x14ac:dyDescent="0.25">
      <c r="G15" s="11"/>
    </row>
  </sheetData>
  <mergeCells count="3">
    <mergeCell ref="A1:D1"/>
    <mergeCell ref="A2:D2"/>
    <mergeCell ref="B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Gabriel Quejada Ahumada</dc:creator>
  <cp:lastModifiedBy>Alex Gabriel Quejada Ahumada</cp:lastModifiedBy>
  <dcterms:created xsi:type="dcterms:W3CDTF">2024-07-06T16:41:36Z</dcterms:created>
  <dcterms:modified xsi:type="dcterms:W3CDTF">2024-07-06T18:00:06Z</dcterms:modified>
</cp:coreProperties>
</file>